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 материалов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<sst xmlns="http://schemas.openxmlformats.org/spreadsheetml/2006/main" count="115" uniqueCount="84">
  <si>
    <t xml:space="preserve">СМЕТА МАТЕРИАЛОВ — квартира MA-2026, Краснодар</t>
  </si>
  <si>
    <t xml:space="preserve">Часть А — ФАКТ по смете студии AHD (закупка чистовых материалов и оборудования). Часть Б — оценка по позициям вне сметы студии.</t>
  </si>
  <si>
    <t xml:space="preserve">№</t>
  </si>
  <si>
    <t xml:space="preserve">Наименование</t>
  </si>
  <si>
    <t xml:space="preserve">Ед.</t>
  </si>
  <si>
    <t xml:space="preserve">Кол-во</t>
  </si>
  <si>
    <t xml:space="preserve">Цена, ₽</t>
  </si>
  <si>
    <t xml:space="preserve">Сумма, ₽</t>
  </si>
  <si>
    <t xml:space="preserve">ЧАСТЬ А — ФАКТ по смете студии AHD (1 547 976 ₽)</t>
  </si>
  <si>
    <t xml:space="preserve">А1. Отделочные материалы</t>
  </si>
  <si>
    <t xml:space="preserve">Краска стены — Caparol Samtex 7 (колер после выкрасов)</t>
  </si>
  <si>
    <t xml:space="preserve">м²</t>
  </si>
  <si>
    <t xml:space="preserve">Плитка 1200×600 — Maimoon Urban Light</t>
  </si>
  <si>
    <t xml:space="preserve">Плитка 100×100</t>
  </si>
  <si>
    <t xml:space="preserve">Плитка коридор</t>
  </si>
  <si>
    <t xml:space="preserve">Кварц-винил — АХД</t>
  </si>
  <si>
    <t xml:space="preserve">Плитка фартук и столешница кухни — Equipe Altea White 10×10</t>
  </si>
  <si>
    <t xml:space="preserve">Итого отделочные материалы:</t>
  </si>
  <si>
    <t xml:space="preserve">А2. Сантехническое оборудование</t>
  </si>
  <si>
    <t xml:space="preserve">Ванна акриловая 180×80 Helmken Alvaro (2-в-1: ванна + каркас)</t>
  </si>
  <si>
    <t xml:space="preserve">шт</t>
  </si>
  <si>
    <t xml:space="preserve">Комплект инсталляции CERAMICANOVA Вектор + кнопка Flat хром мат.</t>
  </si>
  <si>
    <t xml:space="preserve">Унитаз подвесной Balearica Rimless CN6000MC (капучино мат.)</t>
  </si>
  <si>
    <t xml:space="preserve">Умывальник накладной Grace 810×457, белый</t>
  </si>
  <si>
    <t xml:space="preserve">Смеситель раковины встраиваемый Grocenberg GB511NK, никель</t>
  </si>
  <si>
    <t xml:space="preserve">Сифон для раковины</t>
  </si>
  <si>
    <t xml:space="preserve">Душевая система встраиваемая Grocenberg GB5099NK-1, никель</t>
  </si>
  <si>
    <t xml:space="preserve">Полотенцесушитель</t>
  </si>
  <si>
    <t xml:space="preserve">Итого сантехническое оборудование:</t>
  </si>
  <si>
    <t xml:space="preserve">А3. Освещение</t>
  </si>
  <si>
    <t xml:space="preserve">Освещение (комплект светильников — по отдельному файлу)</t>
  </si>
  <si>
    <t xml:space="preserve">компл.</t>
  </si>
  <si>
    <t xml:space="preserve">Итого освещение:</t>
  </si>
  <si>
    <t xml:space="preserve">А4. Окна</t>
  </si>
  <si>
    <t xml:space="preserve">Окна — покраска</t>
  </si>
  <si>
    <t xml:space="preserve">Итого окна:</t>
  </si>
  <si>
    <t xml:space="preserve">А5. Электрика (чистовая)</t>
  </si>
  <si>
    <t xml:space="preserve">Электрика чистовая — DONEL R98 Сталь (механизмы, рамки — отд. файл)</t>
  </si>
  <si>
    <t xml:space="preserve">Итого электрика чистовая:</t>
  </si>
  <si>
    <t xml:space="preserve">А6. Дверные механизмы</t>
  </si>
  <si>
    <t xml:space="preserve">Дверь — комплект</t>
  </si>
  <si>
    <t xml:space="preserve">Ручка дверная</t>
  </si>
  <si>
    <t xml:space="preserve">Завёртка дверная (WC)</t>
  </si>
  <si>
    <t xml:space="preserve">Итого дверные механизмы:</t>
  </si>
  <si>
    <t xml:space="preserve">А7. Плинтус</t>
  </si>
  <si>
    <t xml:space="preserve">Плинтус напольный</t>
  </si>
  <si>
    <t xml:space="preserve">м.п.</t>
  </si>
  <si>
    <t xml:space="preserve">Итого плинтус:</t>
  </si>
  <si>
    <t xml:space="preserve">ИТОГО ЧАСТЬ А (факт по смете студии):</t>
  </si>
  <si>
    <t xml:space="preserve">ЧАСТЬ Б — оценка по позициям вне сметы студии (Краснодар, июнь 2026)</t>
  </si>
  <si>
    <t xml:space="preserve">Б1. Черновые материалы (штукатурка переделывается, пол заливается)</t>
  </si>
  <si>
    <t xml:space="preserve">Штукатурка стен гипсовая — выравнивание/переделка, маяки</t>
  </si>
  <si>
    <t xml:space="preserve">Шпаклёвка финишная под покраску (2 слоя)</t>
  </si>
  <si>
    <t xml:space="preserve">Грунтовка глубокого проникновения (стены+пол, 2 слоя)</t>
  </si>
  <si>
    <t xml:space="preserve">Стяжка пола полусухая — заливка (ЦПС, фибра, лента, плёнка)</t>
  </si>
  <si>
    <t xml:space="preserve">Наливной пол — ровнитель под кварц-винил</t>
  </si>
  <si>
    <t xml:space="preserve">Гидроизоляция обмазочная (с/у, мокрые зоны)</t>
  </si>
  <si>
    <t xml:space="preserve">ГКЛ: перегородки, короба, опуск потолка (ВГКЛ+профиль+крепёж)</t>
  </si>
  <si>
    <t xml:space="preserve">Звуко-/теплоизоляция перегородок</t>
  </si>
  <si>
    <t xml:space="preserve">Электрика черновая (кабель ~900 м, гофра, подрозетники, щит+автоматы)</t>
  </si>
  <si>
    <t xml:space="preserve">Сантехника черновая (трубы, канализация, фитинги, коллектор)</t>
  </si>
  <si>
    <t xml:space="preserve">Плиточный клей + затирка</t>
  </si>
  <si>
    <t xml:space="preserve">Расходники (пена, крепёж, профиль, мешки, СВП)</t>
  </si>
  <si>
    <t xml:space="preserve">Итого черновые материалы:</t>
  </si>
  <si>
    <t xml:space="preserve">Б2. Сплит-системы (4 шт.)</t>
  </si>
  <si>
    <t xml:space="preserve">Сплит-система инверторная, средний сегмент (9–12 BTU)</t>
  </si>
  <si>
    <t xml:space="preserve">Межблочная трасса + расходники</t>
  </si>
  <si>
    <t xml:space="preserve">Итого сплит-системы:</t>
  </si>
  <si>
    <t xml:space="preserve">ИТОГО ЧАСТЬ Б (оценка):</t>
  </si>
  <si>
    <t xml:space="preserve">ВСЕГО МАТЕРИАЛЫ И ОБОРУДОВАНИЕ (А + Б):</t>
  </si>
  <si>
    <t xml:space="preserve">Материалы+оборуд. на 1 м² (÷79,88), ₽/м²</t>
  </si>
  <si>
    <t xml:space="preserve">Ориентир «под ключ» = всё + работы (2,5 млн ₽)</t>
  </si>
  <si>
    <t xml:space="preserve">НЕ ВХОДИТ В РАСЧЁТ</t>
  </si>
  <si>
    <t xml:space="preserve">•  Мебель и текстиль (кухня, диван, кровать, шкафы, стеллажи, зеркала) — в смете студии = 0</t>
  </si>
  <si>
    <t xml:space="preserve">•  Бытовая техника</t>
  </si>
  <si>
    <t xml:space="preserve">•  Радиаторы — в смете студии = 0 (уточняется отдельно)</t>
  </si>
  <si>
    <t xml:space="preserve">•  Декор и аксессуары</t>
  </si>
  <si>
    <t xml:space="preserve">•  Шторы, карнизы (в т.ч. с электроприводом по проекту)</t>
  </si>
  <si>
    <t xml:space="preserve">ПРИМЕЧАНИЯ</t>
  </si>
  <si>
    <t xml:space="preserve">•  Часть А — фактические позиции из сметы студии AHD (файл «Смета AHD_MA2026»): отделка, сантехника, освещение,</t>
  </si>
  <si>
    <t xml:space="preserve">   окна, электрика чистовая, двери, плинтус. Итого 1 547 976 ₽.</t>
  </si>
  <si>
    <t xml:space="preserve">•  Часть Б — черновые материалы и сплит-системы: в смету студии не входят, даны оценкой по рынку Краснодара.</t>
  </si>
  <si>
    <t xml:space="preserve">•  Работы по проекту (≈2,5 млн ₽) и в части А, и в части Б НЕ учтены — это только материалы/оборудование.</t>
  </si>
  <si>
    <t xml:space="preserve">•  Синие ячейки — вводные (кол-во, цена): при изменении закупки суммы пересчитаются автоматически.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</si>
</sst>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sz val="9"/>
      <name val="Arial"/>
      <family val="0"/>
      <charset val="1"/>
    </font>
    <font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6E0B4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9</v>
      </c>
      <c r="B6" s="5"/>
      <c r="C6" s="5"/>
      <c r="D6" s="5"/>
      <c r="E6" s="5"/>
      <c r="F6" s="5"/>
    </row>
    <row r="7" customFormat="false" ht="15" hidden="false" customHeight="false" outlineLevel="0" collapsed="false">
      <c r="A7" s="6" t="n">
        <v>1</v>
      </c>
      <c r="B7" s="7" t="s">
        <v>10</v>
      </c>
      <c r="C7" s="6" t="s">
        <v>11</v>
      </c>
      <c r="D7" s="8" t="n">
        <v>220</v>
      </c>
      <c r="E7" s="9" t="n">
        <v>600</v>
      </c>
      <c r="F7" s="10" t="n">
        <f aca="false">D7*E7</f>
        <v>132000</v>
      </c>
    </row>
    <row r="8" customFormat="false" ht="15" hidden="false" customHeight="false" outlineLevel="0" collapsed="false">
      <c r="A8" s="6" t="n">
        <v>2</v>
      </c>
      <c r="B8" s="7" t="s">
        <v>12</v>
      </c>
      <c r="C8" s="6" t="s">
        <v>11</v>
      </c>
      <c r="D8" s="8" t="n">
        <v>44</v>
      </c>
      <c r="E8" s="9" t="n">
        <v>2490</v>
      </c>
      <c r="F8" s="10" t="n">
        <f aca="false">D8*E8</f>
        <v>109560</v>
      </c>
    </row>
    <row r="9" customFormat="false" ht="15" hidden="false" customHeight="false" outlineLevel="0" collapsed="false">
      <c r="A9" s="6" t="n">
        <v>3</v>
      </c>
      <c r="B9" s="7" t="s">
        <v>13</v>
      </c>
      <c r="C9" s="6" t="s">
        <v>11</v>
      </c>
      <c r="D9" s="8" t="n">
        <v>10</v>
      </c>
      <c r="E9" s="9" t="n">
        <v>2190</v>
      </c>
      <c r="F9" s="10" t="n">
        <f aca="false">D9*E9</f>
        <v>21900</v>
      </c>
    </row>
    <row r="10" customFormat="false" ht="15" hidden="false" customHeight="false" outlineLevel="0" collapsed="false">
      <c r="A10" s="6" t="n">
        <v>4</v>
      </c>
      <c r="B10" s="7" t="s">
        <v>14</v>
      </c>
      <c r="C10" s="6" t="s">
        <v>11</v>
      </c>
      <c r="D10" s="8" t="n">
        <v>4</v>
      </c>
      <c r="E10" s="9" t="n">
        <v>4450</v>
      </c>
      <c r="F10" s="10" t="n">
        <f aca="false">D10*E10</f>
        <v>17800</v>
      </c>
    </row>
    <row r="11" customFormat="false" ht="15" hidden="false" customHeight="false" outlineLevel="0" collapsed="false">
      <c r="A11" s="6" t="n">
        <v>5</v>
      </c>
      <c r="B11" s="7" t="s">
        <v>15</v>
      </c>
      <c r="C11" s="6" t="s">
        <v>11</v>
      </c>
      <c r="D11" s="8" t="n">
        <v>95</v>
      </c>
      <c r="E11" s="9" t="n">
        <v>3500</v>
      </c>
      <c r="F11" s="10" t="n">
        <f aca="false">D11*E11</f>
        <v>332500</v>
      </c>
    </row>
    <row r="12" customFormat="false" ht="15" hidden="false" customHeight="false" outlineLevel="0" collapsed="false">
      <c r="A12" s="6" t="n">
        <v>6</v>
      </c>
      <c r="B12" s="7" t="s">
        <v>16</v>
      </c>
      <c r="C12" s="6" t="s">
        <v>11</v>
      </c>
      <c r="D12" s="8" t="n">
        <v>7</v>
      </c>
      <c r="E12" s="9" t="n">
        <v>7288</v>
      </c>
      <c r="F12" s="10" t="n">
        <f aca="false">D12*E12</f>
        <v>51016</v>
      </c>
    </row>
    <row r="13" customFormat="false" ht="15" hidden="false" customHeight="false" outlineLevel="0" collapsed="false">
      <c r="A13" s="11" t="s">
        <v>17</v>
      </c>
      <c r="B13" s="11"/>
      <c r="C13" s="11"/>
      <c r="D13" s="11"/>
      <c r="E13" s="11"/>
      <c r="F13" s="12" t="n">
        <f aca="false">SUM(F7:F12)</f>
        <v>664776</v>
      </c>
    </row>
    <row r="15" customFormat="false" ht="15" hidden="false" customHeight="false" outlineLevel="0" collapsed="false">
      <c r="A15" s="5" t="s">
        <v>18</v>
      </c>
      <c r="B15" s="5"/>
      <c r="C15" s="5"/>
      <c r="D15" s="5"/>
      <c r="E15" s="5"/>
      <c r="F15" s="5"/>
    </row>
    <row r="16" customFormat="false" ht="15" hidden="false" customHeight="false" outlineLevel="0" collapsed="false">
      <c r="A16" s="6" t="n">
        <v>1</v>
      </c>
      <c r="B16" s="7" t="s">
        <v>19</v>
      </c>
      <c r="C16" s="6" t="s">
        <v>20</v>
      </c>
      <c r="D16" s="8" t="n">
        <v>1</v>
      </c>
      <c r="E16" s="9" t="n">
        <v>34000</v>
      </c>
      <c r="F16" s="10" t="n">
        <f aca="false">D16*E16</f>
        <v>34000</v>
      </c>
    </row>
    <row r="17" customFormat="false" ht="23.85" hidden="false" customHeight="false" outlineLevel="0" collapsed="false">
      <c r="A17" s="6" t="n">
        <v>2</v>
      </c>
      <c r="B17" s="7" t="s">
        <v>21</v>
      </c>
      <c r="C17" s="6" t="s">
        <v>20</v>
      </c>
      <c r="D17" s="8" t="n">
        <v>1</v>
      </c>
      <c r="E17" s="9" t="n">
        <v>37000</v>
      </c>
      <c r="F17" s="10" t="n">
        <f aca="false">D17*E17</f>
        <v>37000</v>
      </c>
    </row>
    <row r="18" customFormat="false" ht="15" hidden="false" customHeight="false" outlineLevel="0" collapsed="false">
      <c r="A18" s="6" t="n">
        <v>3</v>
      </c>
      <c r="B18" s="7" t="s">
        <v>22</v>
      </c>
      <c r="C18" s="6" t="s">
        <v>20</v>
      </c>
      <c r="D18" s="8" t="n">
        <v>1</v>
      </c>
      <c r="E18" s="9" t="n">
        <v>25000</v>
      </c>
      <c r="F18" s="10" t="n">
        <f aca="false">D18*E18</f>
        <v>25000</v>
      </c>
    </row>
    <row r="19" customFormat="false" ht="15" hidden="false" customHeight="false" outlineLevel="0" collapsed="false">
      <c r="A19" s="6" t="n">
        <v>4</v>
      </c>
      <c r="B19" s="7" t="s">
        <v>23</v>
      </c>
      <c r="C19" s="6" t="s">
        <v>20</v>
      </c>
      <c r="D19" s="8" t="n">
        <v>1</v>
      </c>
      <c r="E19" s="9" t="n">
        <v>30300</v>
      </c>
      <c r="F19" s="10" t="n">
        <f aca="false">D19*E19</f>
        <v>30300</v>
      </c>
    </row>
    <row r="20" customFormat="false" ht="15" hidden="false" customHeight="false" outlineLevel="0" collapsed="false">
      <c r="A20" s="6" t="n">
        <v>5</v>
      </c>
      <c r="B20" s="7" t="s">
        <v>24</v>
      </c>
      <c r="C20" s="6" t="s">
        <v>20</v>
      </c>
      <c r="D20" s="8" t="n">
        <v>1</v>
      </c>
      <c r="E20" s="9" t="n">
        <v>14000</v>
      </c>
      <c r="F20" s="10" t="n">
        <f aca="false">D20*E20</f>
        <v>14000</v>
      </c>
    </row>
    <row r="21" customFormat="false" ht="15" hidden="false" customHeight="false" outlineLevel="0" collapsed="false">
      <c r="A21" s="6" t="n">
        <v>6</v>
      </c>
      <c r="B21" s="7" t="s">
        <v>25</v>
      </c>
      <c r="C21" s="6" t="s">
        <v>20</v>
      </c>
      <c r="D21" s="8" t="n">
        <v>1</v>
      </c>
      <c r="E21" s="9" t="n">
        <v>10000</v>
      </c>
      <c r="F21" s="10" t="n">
        <f aca="false">D21*E21</f>
        <v>10000</v>
      </c>
    </row>
    <row r="22" customFormat="false" ht="15" hidden="false" customHeight="false" outlineLevel="0" collapsed="false">
      <c r="A22" s="6" t="n">
        <v>7</v>
      </c>
      <c r="B22" s="7" t="s">
        <v>26</v>
      </c>
      <c r="C22" s="6" t="s">
        <v>20</v>
      </c>
      <c r="D22" s="8" t="n">
        <v>1</v>
      </c>
      <c r="E22" s="9" t="n">
        <v>36900</v>
      </c>
      <c r="F22" s="10" t="n">
        <f aca="false">D22*E22</f>
        <v>36900</v>
      </c>
    </row>
    <row r="23" customFormat="false" ht="15" hidden="false" customHeight="false" outlineLevel="0" collapsed="false">
      <c r="A23" s="6" t="n">
        <v>8</v>
      </c>
      <c r="B23" s="7" t="s">
        <v>27</v>
      </c>
      <c r="C23" s="6" t="s">
        <v>20</v>
      </c>
      <c r="D23" s="8" t="n">
        <v>1</v>
      </c>
      <c r="E23" s="9" t="n">
        <v>25000</v>
      </c>
      <c r="F23" s="10" t="n">
        <f aca="false">D23*E23</f>
        <v>25000</v>
      </c>
    </row>
    <row r="24" customFormat="false" ht="15" hidden="false" customHeight="false" outlineLevel="0" collapsed="false">
      <c r="A24" s="11" t="s">
        <v>28</v>
      </c>
      <c r="B24" s="11"/>
      <c r="C24" s="11"/>
      <c r="D24" s="11"/>
      <c r="E24" s="11"/>
      <c r="F24" s="12" t="n">
        <f aca="false">SUM(F16:F23)</f>
        <v>212200</v>
      </c>
    </row>
    <row r="26" customFormat="false" ht="15" hidden="false" customHeight="false" outlineLevel="0" collapsed="false">
      <c r="A26" s="5" t="s">
        <v>29</v>
      </c>
      <c r="B26" s="5"/>
      <c r="C26" s="5"/>
      <c r="D26" s="5"/>
      <c r="E26" s="5"/>
      <c r="F26" s="5"/>
    </row>
    <row r="27" customFormat="false" ht="15" hidden="false" customHeight="false" outlineLevel="0" collapsed="false">
      <c r="A27" s="6" t="n">
        <v>1</v>
      </c>
      <c r="B27" s="7" t="s">
        <v>30</v>
      </c>
      <c r="C27" s="6" t="s">
        <v>31</v>
      </c>
      <c r="D27" s="8" t="n">
        <v>1</v>
      </c>
      <c r="E27" s="9" t="n">
        <v>118000</v>
      </c>
      <c r="F27" s="10" t="n">
        <f aca="false">D27*E27</f>
        <v>118000</v>
      </c>
    </row>
    <row r="28" customFormat="false" ht="15" hidden="false" customHeight="false" outlineLevel="0" collapsed="false">
      <c r="A28" s="11" t="s">
        <v>32</v>
      </c>
      <c r="B28" s="11"/>
      <c r="C28" s="11"/>
      <c r="D28" s="11"/>
      <c r="E28" s="11"/>
      <c r="F28" s="12" t="n">
        <f aca="false">SUM(F27)</f>
        <v>118000</v>
      </c>
    </row>
    <row r="30" customFormat="false" ht="15" hidden="false" customHeight="false" outlineLevel="0" collapsed="false">
      <c r="A30" s="5" t="s">
        <v>33</v>
      </c>
      <c r="B30" s="5"/>
      <c r="C30" s="5"/>
      <c r="D30" s="5"/>
      <c r="E30" s="5"/>
      <c r="F30" s="5"/>
    </row>
    <row r="31" customFormat="false" ht="15" hidden="false" customHeight="false" outlineLevel="0" collapsed="false">
      <c r="A31" s="6" t="n">
        <v>1</v>
      </c>
      <c r="B31" s="7" t="s">
        <v>34</v>
      </c>
      <c r="C31" s="6" t="s">
        <v>31</v>
      </c>
      <c r="D31" s="8" t="n">
        <v>1</v>
      </c>
      <c r="E31" s="9" t="n">
        <v>50000</v>
      </c>
      <c r="F31" s="10" t="n">
        <f aca="false">D31*E31</f>
        <v>50000</v>
      </c>
    </row>
    <row r="32" customFormat="false" ht="15" hidden="false" customHeight="false" outlineLevel="0" collapsed="false">
      <c r="A32" s="11" t="s">
        <v>35</v>
      </c>
      <c r="B32" s="11"/>
      <c r="C32" s="11"/>
      <c r="D32" s="11"/>
      <c r="E32" s="11"/>
      <c r="F32" s="12" t="n">
        <f aca="false">SUM(F31)</f>
        <v>50000</v>
      </c>
    </row>
    <row r="34" customFormat="false" ht="15" hidden="false" customHeight="false" outlineLevel="0" collapsed="false">
      <c r="A34" s="5" t="s">
        <v>36</v>
      </c>
      <c r="B34" s="5"/>
      <c r="C34" s="5"/>
      <c r="D34" s="5"/>
      <c r="E34" s="5"/>
      <c r="F34" s="5"/>
    </row>
    <row r="35" customFormat="false" ht="23.85" hidden="false" customHeight="false" outlineLevel="0" collapsed="false">
      <c r="A35" s="6" t="n">
        <v>1</v>
      </c>
      <c r="B35" s="7" t="s">
        <v>37</v>
      </c>
      <c r="C35" s="6" t="s">
        <v>31</v>
      </c>
      <c r="D35" s="8" t="n">
        <v>1</v>
      </c>
      <c r="E35" s="9" t="n">
        <v>103000</v>
      </c>
      <c r="F35" s="10" t="n">
        <f aca="false">D35*E35</f>
        <v>103000</v>
      </c>
    </row>
    <row r="36" customFormat="false" ht="15" hidden="false" customHeight="false" outlineLevel="0" collapsed="false">
      <c r="A36" s="11" t="s">
        <v>38</v>
      </c>
      <c r="B36" s="11"/>
      <c r="C36" s="11"/>
      <c r="D36" s="11"/>
      <c r="E36" s="11"/>
      <c r="F36" s="12" t="n">
        <f aca="false">SUM(F35)</f>
        <v>103000</v>
      </c>
    </row>
    <row r="38" customFormat="false" ht="15" hidden="false" customHeight="false" outlineLevel="0" collapsed="false">
      <c r="A38" s="5" t="s">
        <v>39</v>
      </c>
      <c r="B38" s="5"/>
      <c r="C38" s="5"/>
      <c r="D38" s="5"/>
      <c r="E38" s="5"/>
      <c r="F38" s="5"/>
    </row>
    <row r="39" customFormat="false" ht="15" hidden="false" customHeight="false" outlineLevel="0" collapsed="false">
      <c r="A39" s="6" t="n">
        <v>1</v>
      </c>
      <c r="B39" s="7" t="s">
        <v>40</v>
      </c>
      <c r="C39" s="6" t="s">
        <v>20</v>
      </c>
      <c r="D39" s="8" t="n">
        <v>6</v>
      </c>
      <c r="E39" s="9" t="n">
        <v>55000</v>
      </c>
      <c r="F39" s="10" t="n">
        <f aca="false">D39*E39</f>
        <v>330000</v>
      </c>
    </row>
    <row r="40" customFormat="false" ht="15" hidden="false" customHeight="false" outlineLevel="0" collapsed="false">
      <c r="A40" s="6" t="n">
        <v>2</v>
      </c>
      <c r="B40" s="7" t="s">
        <v>41</v>
      </c>
      <c r="C40" s="6" t="s">
        <v>20</v>
      </c>
      <c r="D40" s="8" t="n">
        <v>6</v>
      </c>
      <c r="E40" s="9" t="n">
        <v>3500</v>
      </c>
      <c r="F40" s="10" t="n">
        <f aca="false">D40*E40</f>
        <v>21000</v>
      </c>
    </row>
    <row r="41" customFormat="false" ht="15" hidden="false" customHeight="false" outlineLevel="0" collapsed="false">
      <c r="A41" s="6" t="n">
        <v>3</v>
      </c>
      <c r="B41" s="7" t="s">
        <v>42</v>
      </c>
      <c r="C41" s="6" t="s">
        <v>20</v>
      </c>
      <c r="D41" s="8" t="n">
        <v>4</v>
      </c>
      <c r="E41" s="9" t="n">
        <v>2000</v>
      </c>
      <c r="F41" s="10" t="n">
        <f aca="false">D41*E41</f>
        <v>8000</v>
      </c>
    </row>
    <row r="42" customFormat="false" ht="15" hidden="false" customHeight="false" outlineLevel="0" collapsed="false">
      <c r="A42" s="11" t="s">
        <v>43</v>
      </c>
      <c r="B42" s="11"/>
      <c r="C42" s="11"/>
      <c r="D42" s="11"/>
      <c r="E42" s="11"/>
      <c r="F42" s="12" t="n">
        <f aca="false">SUM(F39:F41)</f>
        <v>359000</v>
      </c>
    </row>
    <row r="44" customFormat="false" ht="15" hidden="false" customHeight="false" outlineLevel="0" collapsed="false">
      <c r="A44" s="5" t="s">
        <v>44</v>
      </c>
      <c r="B44" s="5"/>
      <c r="C44" s="5"/>
      <c r="D44" s="5"/>
      <c r="E44" s="5"/>
      <c r="F44" s="5"/>
    </row>
    <row r="45" customFormat="false" ht="15" hidden="false" customHeight="false" outlineLevel="0" collapsed="false">
      <c r="A45" s="6" t="n">
        <v>1</v>
      </c>
      <c r="B45" s="7" t="s">
        <v>45</v>
      </c>
      <c r="C45" s="6" t="s">
        <v>46</v>
      </c>
      <c r="D45" s="8" t="n">
        <v>82</v>
      </c>
      <c r="E45" s="9" t="n">
        <v>500</v>
      </c>
      <c r="F45" s="10" t="n">
        <f aca="false">D45*E45</f>
        <v>41000</v>
      </c>
    </row>
    <row r="46" customFormat="false" ht="15" hidden="false" customHeight="false" outlineLevel="0" collapsed="false">
      <c r="A46" s="11" t="s">
        <v>47</v>
      </c>
      <c r="B46" s="11"/>
      <c r="C46" s="11"/>
      <c r="D46" s="11"/>
      <c r="E46" s="11"/>
      <c r="F46" s="12" t="n">
        <f aca="false">SUM(F45)</f>
        <v>41000</v>
      </c>
    </row>
    <row r="48" customFormat="false" ht="15" hidden="false" customHeight="false" outlineLevel="0" collapsed="false">
      <c r="A48" s="13" t="s">
        <v>48</v>
      </c>
      <c r="B48" s="13"/>
      <c r="C48" s="13"/>
      <c r="D48" s="13"/>
      <c r="E48" s="13"/>
      <c r="F48" s="14" t="n">
        <f aca="false">F13+F24+F28+F32+F36+F42+F46</f>
        <v>1547976</v>
      </c>
    </row>
    <row r="50" customFormat="false" ht="15" hidden="false" customHeight="false" outlineLevel="0" collapsed="false">
      <c r="A50" s="15" t="s">
        <v>49</v>
      </c>
      <c r="B50" s="15"/>
      <c r="C50" s="15"/>
      <c r="D50" s="15"/>
      <c r="E50" s="15"/>
      <c r="F50" s="15"/>
    </row>
    <row r="51" customFormat="false" ht="15" hidden="false" customHeight="false" outlineLevel="0" collapsed="false">
      <c r="A51" s="5" t="s">
        <v>50</v>
      </c>
      <c r="B51" s="5"/>
      <c r="C51" s="5"/>
      <c r="D51" s="5"/>
      <c r="E51" s="5"/>
      <c r="F51" s="5"/>
    </row>
    <row r="52" customFormat="false" ht="15" hidden="false" customHeight="false" outlineLevel="0" collapsed="false">
      <c r="A52" s="6" t="n">
        <v>1</v>
      </c>
      <c r="B52" s="7" t="s">
        <v>51</v>
      </c>
      <c r="C52" s="6" t="s">
        <v>11</v>
      </c>
      <c r="D52" s="8" t="n">
        <v>270</v>
      </c>
      <c r="E52" s="9" t="n">
        <v>250</v>
      </c>
      <c r="F52" s="10" t="n">
        <f aca="false">D52*E52</f>
        <v>67500</v>
      </c>
    </row>
    <row r="53" customFormat="false" ht="15" hidden="false" customHeight="false" outlineLevel="0" collapsed="false">
      <c r="A53" s="6" t="n">
        <v>2</v>
      </c>
      <c r="B53" s="7" t="s">
        <v>52</v>
      </c>
      <c r="C53" s="6" t="s">
        <v>11</v>
      </c>
      <c r="D53" s="8" t="n">
        <v>216</v>
      </c>
      <c r="E53" s="9" t="n">
        <v>90</v>
      </c>
      <c r="F53" s="10" t="n">
        <f aca="false">D53*E53</f>
        <v>19440</v>
      </c>
    </row>
    <row r="54" customFormat="false" ht="15" hidden="false" customHeight="false" outlineLevel="0" collapsed="false">
      <c r="A54" s="6" t="n">
        <v>3</v>
      </c>
      <c r="B54" s="7" t="s">
        <v>53</v>
      </c>
      <c r="C54" s="6" t="s">
        <v>11</v>
      </c>
      <c r="D54" s="8" t="n">
        <v>380</v>
      </c>
      <c r="E54" s="9" t="n">
        <v>35</v>
      </c>
      <c r="F54" s="10" t="n">
        <f aca="false">D54*E54</f>
        <v>13300</v>
      </c>
    </row>
    <row r="55" customFormat="false" ht="15" hidden="false" customHeight="false" outlineLevel="0" collapsed="false">
      <c r="A55" s="6" t="n">
        <v>4</v>
      </c>
      <c r="B55" s="7" t="s">
        <v>54</v>
      </c>
      <c r="C55" s="6" t="s">
        <v>11</v>
      </c>
      <c r="D55" s="8" t="n">
        <v>80</v>
      </c>
      <c r="E55" s="9" t="n">
        <v>320</v>
      </c>
      <c r="F55" s="10" t="n">
        <f aca="false">D55*E55</f>
        <v>25600</v>
      </c>
    </row>
    <row r="56" customFormat="false" ht="15" hidden="false" customHeight="false" outlineLevel="0" collapsed="false">
      <c r="A56" s="6" t="n">
        <v>5</v>
      </c>
      <c r="B56" s="7" t="s">
        <v>55</v>
      </c>
      <c r="C56" s="6" t="s">
        <v>11</v>
      </c>
      <c r="D56" s="8" t="n">
        <v>70</v>
      </c>
      <c r="E56" s="9" t="n">
        <v>150</v>
      </c>
      <c r="F56" s="10" t="n">
        <f aca="false">D56*E56</f>
        <v>10500</v>
      </c>
    </row>
    <row r="57" customFormat="false" ht="15" hidden="false" customHeight="false" outlineLevel="0" collapsed="false">
      <c r="A57" s="6" t="n">
        <v>6</v>
      </c>
      <c r="B57" s="7" t="s">
        <v>56</v>
      </c>
      <c r="C57" s="6" t="s">
        <v>11</v>
      </c>
      <c r="D57" s="8" t="n">
        <v>40</v>
      </c>
      <c r="E57" s="9" t="n">
        <v>350</v>
      </c>
      <c r="F57" s="10" t="n">
        <f aca="false">D57*E57</f>
        <v>14000</v>
      </c>
    </row>
    <row r="58" customFormat="false" ht="15" hidden="false" customHeight="false" outlineLevel="0" collapsed="false">
      <c r="A58" s="6" t="n">
        <v>7</v>
      </c>
      <c r="B58" s="7" t="s">
        <v>57</v>
      </c>
      <c r="C58" s="6" t="s">
        <v>31</v>
      </c>
      <c r="D58" s="8" t="n">
        <v>1</v>
      </c>
      <c r="E58" s="9" t="n">
        <v>45000</v>
      </c>
      <c r="F58" s="10" t="n">
        <f aca="false">D58*E58</f>
        <v>45000</v>
      </c>
    </row>
    <row r="59" customFormat="false" ht="15" hidden="false" customHeight="false" outlineLevel="0" collapsed="false">
      <c r="A59" s="6" t="n">
        <v>8</v>
      </c>
      <c r="B59" s="7" t="s">
        <v>58</v>
      </c>
      <c r="C59" s="6" t="s">
        <v>11</v>
      </c>
      <c r="D59" s="8" t="n">
        <v>40</v>
      </c>
      <c r="E59" s="9" t="n">
        <v>160</v>
      </c>
      <c r="F59" s="10" t="n">
        <f aca="false">D59*E59</f>
        <v>6400</v>
      </c>
    </row>
    <row r="60" customFormat="false" ht="23.85" hidden="false" customHeight="false" outlineLevel="0" collapsed="false">
      <c r="A60" s="6" t="n">
        <v>9</v>
      </c>
      <c r="B60" s="7" t="s">
        <v>59</v>
      </c>
      <c r="C60" s="6" t="s">
        <v>31</v>
      </c>
      <c r="D60" s="8" t="n">
        <v>1</v>
      </c>
      <c r="E60" s="9" t="n">
        <v>105000</v>
      </c>
      <c r="F60" s="10" t="n">
        <f aca="false">D60*E60</f>
        <v>105000</v>
      </c>
    </row>
    <row r="61" customFormat="false" ht="15" hidden="false" customHeight="false" outlineLevel="0" collapsed="false">
      <c r="A61" s="6" t="n">
        <v>10</v>
      </c>
      <c r="B61" s="7" t="s">
        <v>60</v>
      </c>
      <c r="C61" s="6" t="s">
        <v>31</v>
      </c>
      <c r="D61" s="8" t="n">
        <v>1</v>
      </c>
      <c r="E61" s="9" t="n">
        <v>42000</v>
      </c>
      <c r="F61" s="10" t="n">
        <f aca="false">D61*E61</f>
        <v>42000</v>
      </c>
    </row>
    <row r="62" customFormat="false" ht="15" hidden="false" customHeight="false" outlineLevel="0" collapsed="false">
      <c r="A62" s="6" t="n">
        <v>11</v>
      </c>
      <c r="B62" s="7" t="s">
        <v>61</v>
      </c>
      <c r="C62" s="6" t="s">
        <v>31</v>
      </c>
      <c r="D62" s="8" t="n">
        <v>1</v>
      </c>
      <c r="E62" s="9" t="n">
        <v>11000</v>
      </c>
      <c r="F62" s="10" t="n">
        <f aca="false">D62*E62</f>
        <v>11000</v>
      </c>
    </row>
    <row r="63" customFormat="false" ht="15" hidden="false" customHeight="false" outlineLevel="0" collapsed="false">
      <c r="A63" s="6" t="n">
        <v>12</v>
      </c>
      <c r="B63" s="7" t="s">
        <v>62</v>
      </c>
      <c r="C63" s="6" t="s">
        <v>31</v>
      </c>
      <c r="D63" s="8" t="n">
        <v>1</v>
      </c>
      <c r="E63" s="9" t="n">
        <v>18000</v>
      </c>
      <c r="F63" s="10" t="n">
        <f aca="false">D63*E63</f>
        <v>18000</v>
      </c>
    </row>
    <row r="64" customFormat="false" ht="15" hidden="false" customHeight="false" outlineLevel="0" collapsed="false">
      <c r="A64" s="11" t="s">
        <v>63</v>
      </c>
      <c r="B64" s="11"/>
      <c r="C64" s="11"/>
      <c r="D64" s="11"/>
      <c r="E64" s="11"/>
      <c r="F64" s="12" t="n">
        <f aca="false">SUM(F52:F63)</f>
        <v>377740</v>
      </c>
    </row>
    <row r="66" customFormat="false" ht="15" hidden="false" customHeight="false" outlineLevel="0" collapsed="false">
      <c r="A66" s="5" t="s">
        <v>64</v>
      </c>
      <c r="B66" s="5"/>
      <c r="C66" s="5"/>
      <c r="D66" s="5"/>
      <c r="E66" s="5"/>
      <c r="F66" s="5"/>
    </row>
    <row r="67" customFormat="false" ht="15" hidden="false" customHeight="false" outlineLevel="0" collapsed="false">
      <c r="A67" s="6" t="n">
        <v>1</v>
      </c>
      <c r="B67" s="7" t="s">
        <v>65</v>
      </c>
      <c r="C67" s="6" t="s">
        <v>20</v>
      </c>
      <c r="D67" s="8" t="n">
        <v>4</v>
      </c>
      <c r="E67" s="9" t="n">
        <v>40000</v>
      </c>
      <c r="F67" s="10" t="n">
        <f aca="false">D67*E67</f>
        <v>160000</v>
      </c>
    </row>
    <row r="68" customFormat="false" ht="15" hidden="false" customHeight="false" outlineLevel="0" collapsed="false">
      <c r="A68" s="6" t="n">
        <v>2</v>
      </c>
      <c r="B68" s="7" t="s">
        <v>66</v>
      </c>
      <c r="C68" s="6" t="s">
        <v>31</v>
      </c>
      <c r="D68" s="8" t="n">
        <v>1</v>
      </c>
      <c r="E68" s="9" t="n">
        <v>20000</v>
      </c>
      <c r="F68" s="10" t="n">
        <f aca="false">D68*E68</f>
        <v>20000</v>
      </c>
    </row>
    <row r="69" customFormat="false" ht="15" hidden="false" customHeight="false" outlineLevel="0" collapsed="false">
      <c r="A69" s="11" t="s">
        <v>67</v>
      </c>
      <c r="B69" s="11"/>
      <c r="C69" s="11"/>
      <c r="D69" s="11"/>
      <c r="E69" s="11"/>
      <c r="F69" s="12" t="n">
        <f aca="false">SUM(F67:F68)</f>
        <v>180000</v>
      </c>
    </row>
    <row r="71" customFormat="false" ht="15" hidden="false" customHeight="false" outlineLevel="0" collapsed="false">
      <c r="A71" s="16" t="s">
        <v>68</v>
      </c>
      <c r="B71" s="16"/>
      <c r="C71" s="16"/>
      <c r="D71" s="16"/>
      <c r="E71" s="16"/>
      <c r="F71" s="17" t="n">
        <f aca="false">F64+F69</f>
        <v>557740</v>
      </c>
    </row>
    <row r="73" customFormat="false" ht="15" hidden="false" customHeight="false" outlineLevel="0" collapsed="false">
      <c r="A73" s="18" t="s">
        <v>69</v>
      </c>
      <c r="B73" s="18"/>
      <c r="C73" s="18"/>
      <c r="D73" s="18"/>
      <c r="E73" s="18"/>
      <c r="F73" s="19" t="n">
        <f aca="false">F48+F71</f>
        <v>2105716</v>
      </c>
    </row>
    <row r="74" customFormat="false" ht="15" hidden="false" customHeight="false" outlineLevel="0" collapsed="false">
      <c r="A74" s="20" t="s">
        <v>70</v>
      </c>
      <c r="B74" s="20"/>
      <c r="C74" s="20"/>
      <c r="D74" s="20"/>
      <c r="E74" s="20"/>
      <c r="F74" s="21" t="n">
        <f aca="false">F73/79.88</f>
        <v>26360.9914872308</v>
      </c>
    </row>
    <row r="75" customFormat="false" ht="15" hidden="false" customHeight="false" outlineLevel="0" collapsed="false">
      <c r="A75" s="20" t="s">
        <v>71</v>
      </c>
      <c r="B75" s="20"/>
      <c r="C75" s="20"/>
      <c r="D75" s="20"/>
      <c r="E75" s="20"/>
      <c r="F75" s="21" t="n">
        <f aca="false">F73+2500000</f>
        <v>4605716</v>
      </c>
    </row>
    <row r="77" customFormat="false" ht="15" hidden="false" customHeight="false" outlineLevel="0" collapsed="false">
      <c r="A77" s="5" t="s">
        <v>72</v>
      </c>
      <c r="B77" s="5"/>
      <c r="C77" s="5"/>
      <c r="D77" s="5"/>
      <c r="E77" s="5"/>
      <c r="F77" s="5"/>
    </row>
    <row r="78" customFormat="false" ht="15" hidden="false" customHeight="false" outlineLevel="0" collapsed="false">
      <c r="A78" s="22" t="s">
        <v>73</v>
      </c>
      <c r="B78" s="22"/>
      <c r="C78" s="22"/>
      <c r="D78" s="22"/>
      <c r="E78" s="22"/>
      <c r="F78" s="22"/>
    </row>
    <row r="79" customFormat="false" ht="15" hidden="false" customHeight="false" outlineLevel="0" collapsed="false">
      <c r="A79" s="22" t="s">
        <v>74</v>
      </c>
      <c r="B79" s="22"/>
      <c r="C79" s="22"/>
      <c r="D79" s="22"/>
      <c r="E79" s="22"/>
      <c r="F79" s="22"/>
    </row>
    <row r="80" customFormat="false" ht="15" hidden="false" customHeight="false" outlineLevel="0" collapsed="false">
      <c r="A80" s="22" t="s">
        <v>75</v>
      </c>
      <c r="B80" s="22"/>
      <c r="C80" s="22"/>
      <c r="D80" s="22"/>
      <c r="E80" s="22"/>
      <c r="F80" s="22"/>
    </row>
    <row r="81" customFormat="false" ht="15" hidden="false" customHeight="false" outlineLevel="0" collapsed="false">
      <c r="A81" s="22" t="s">
        <v>76</v>
      </c>
      <c r="B81" s="22"/>
      <c r="C81" s="22"/>
      <c r="D81" s="22"/>
      <c r="E81" s="22"/>
      <c r="F81" s="22"/>
    </row>
    <row r="82" customFormat="false" ht="15" hidden="false" customHeight="false" outlineLevel="0" collapsed="false">
      <c r="A82" s="22" t="s">
        <v>77</v>
      </c>
      <c r="B82" s="22"/>
      <c r="C82" s="22"/>
      <c r="D82" s="22"/>
      <c r="E82" s="22"/>
      <c r="F82" s="22"/>
    </row>
    <row r="84" customFormat="false" ht="15" hidden="false" customHeight="false" outlineLevel="0" collapsed="false">
      <c r="A84" s="5" t="s">
        <v>78</v>
      </c>
      <c r="B84" s="5"/>
      <c r="C84" s="5"/>
      <c r="D84" s="5"/>
      <c r="E84" s="5"/>
      <c r="F84" s="5"/>
    </row>
    <row r="85" customFormat="false" ht="15" hidden="false" customHeight="false" outlineLevel="0" collapsed="false">
      <c r="A85" s="23" t="s">
        <v>79</v>
      </c>
      <c r="B85" s="23"/>
      <c r="C85" s="23"/>
      <c r="D85" s="23"/>
      <c r="E85" s="23"/>
      <c r="F85" s="23"/>
    </row>
    <row r="86" customFormat="false" ht="15" hidden="false" customHeight="false" outlineLevel="0" collapsed="false">
      <c r="A86" s="23" t="s">
        <v>80</v>
      </c>
      <c r="B86" s="23"/>
      <c r="C86" s="23"/>
      <c r="D86" s="23"/>
      <c r="E86" s="23"/>
      <c r="F86" s="23"/>
    </row>
    <row r="87" customFormat="false" ht="15" hidden="false" customHeight="false" outlineLevel="0" collapsed="false">
      <c r="A87" s="23" t="s">
        <v>81</v>
      </c>
      <c r="B87" s="23"/>
      <c r="C87" s="23"/>
      <c r="D87" s="23"/>
      <c r="E87" s="23"/>
      <c r="F87" s="23"/>
    </row>
    <row r="88" customFormat="false" ht="15" hidden="false" customHeight="false" outlineLevel="0" collapsed="false">
      <c r="A88" s="23" t="s">
        <v>82</v>
      </c>
      <c r="B88" s="23"/>
      <c r="C88" s="23"/>
      <c r="D88" s="23"/>
      <c r="E88" s="23"/>
      <c r="F88" s="23"/>
    </row>
    <row r="89" customFormat="false" ht="15" hidden="false" customHeight="false" outlineLevel="0" collapsed="false">
      <c r="A89" s="23" t="s">
        <v>83</v>
      </c>
      <c r="B89" s="23"/>
      <c r="C89" s="23"/>
      <c r="D89" s="23"/>
      <c r="E89" s="23"/>
      <c r="F89" s="23"/>
    </row>
  </sheetData>
  <mergeCells count="39">
    <mergeCell ref="A1:F1"/>
    <mergeCell ref="A2:F2"/>
    <mergeCell ref="A5:F5"/>
    <mergeCell ref="A6:F6"/>
    <mergeCell ref="A13:E13"/>
    <mergeCell ref="A15:F15"/>
    <mergeCell ref="A24:E24"/>
    <mergeCell ref="A26:F26"/>
    <mergeCell ref="A28:E28"/>
    <mergeCell ref="A30:F30"/>
    <mergeCell ref="A32:E32"/>
    <mergeCell ref="A34:F34"/>
    <mergeCell ref="A36:E36"/>
    <mergeCell ref="A38:F38"/>
    <mergeCell ref="A42:E42"/>
    <mergeCell ref="A44:F44"/>
    <mergeCell ref="A46:E46"/>
    <mergeCell ref="A48:E48"/>
    <mergeCell ref="A50:F50"/>
    <mergeCell ref="A51:F51"/>
    <mergeCell ref="A64:E64"/>
    <mergeCell ref="A66:F66"/>
    <mergeCell ref="A69:E69"/>
    <mergeCell ref="A71:E71"/>
    <mergeCell ref="A73:E73"/>
    <mergeCell ref="A74:E74"/>
    <mergeCell ref="A75:E75"/>
    <mergeCell ref="A77:F77"/>
    <mergeCell ref="A78:F78"/>
    <mergeCell ref="A79:F79"/>
    <mergeCell ref="A80:F80"/>
    <mergeCell ref="A81:F81"/>
    <mergeCell ref="A82:F82"/>
    <mergeCell ref="A84:F84"/>
    <mergeCell ref="A85:F85"/>
    <mergeCell ref="A86:F86"/>
    <mergeCell ref="A87:F87"/>
    <mergeCell ref="A88:F88"/>
    <mergeCell ref="A89:F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2026-06-27T08:30:31Z</dcterms:created>
  <dc:creator>openpyxl</dc:creator>
  <dc:description/>
  <dc:language>en-US</dc:language>
  <cp:lastModifiedBy/>
  <dcterms:modified xsi:type="dcterms:W3CDTF">2026-06-27T08:30:31Z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